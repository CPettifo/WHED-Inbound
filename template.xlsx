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internationalassociation162-my.sharepoint.com/personal/c_pettifor_iau_global/Documents/WHED/Australia/CRICOS-Import/"/>
    </mc:Choice>
  </mc:AlternateContent>
  <xr:revisionPtr revIDLastSave="192" documentId="11_F25DC773A252ABDACC10486E81194A665ADE58ED" xr6:coauthVersionLast="47" xr6:coauthVersionMax="47" xr10:uidLastSave="{FDB8233E-D90E-448D-B6E9-6BC7508AA9B5}"/>
  <bookViews>
    <workbookView xWindow="-120" yWindow="-120" windowWidth="29040" windowHeight="15720" activeTab="2" xr2:uid="{00000000-000D-0000-FFFF-FFFF00000000}"/>
  </bookViews>
  <sheets>
    <sheet name="whed_levels" sheetId="4" r:id="rId1"/>
    <sheet name="whed_inst" sheetId="1" r:id="rId2"/>
    <sheet name="ext_inst" sheetId="2" r:id="rId3"/>
    <sheet name="ext_cred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</calcChain>
</file>

<file path=xl/sharedStrings.xml><?xml version="1.0" encoding="utf-8"?>
<sst xmlns="http://schemas.openxmlformats.org/spreadsheetml/2006/main" count="134" uniqueCount="97">
  <si>
    <t>Name English</t>
  </si>
  <si>
    <t>Alternative Name</t>
  </si>
  <si>
    <t>Branch of</t>
  </si>
  <si>
    <t>Institution Name</t>
  </si>
  <si>
    <t>Global WHED ID</t>
  </si>
  <si>
    <t>WHED ID</t>
  </si>
  <si>
    <t>Homepage</t>
  </si>
  <si>
    <t>Address Street</t>
  </si>
  <si>
    <t>Address City</t>
  </si>
  <si>
    <t>Address Province</t>
  </si>
  <si>
    <t>Address Postcode</t>
  </si>
  <si>
    <t>Address State</t>
  </si>
  <si>
    <t>Address Country</t>
  </si>
  <si>
    <t>Website</t>
  </si>
  <si>
    <t>Postal Address Line 1</t>
  </si>
  <si>
    <t>Postal Address Line 2</t>
  </si>
  <si>
    <t>Postal Address Line 3</t>
  </si>
  <si>
    <t>Postal Address Line 4</t>
  </si>
  <si>
    <t>Postal Address City</t>
  </si>
  <si>
    <t>Postal Address State</t>
  </si>
  <si>
    <t>Postal Address Postcode</t>
  </si>
  <si>
    <t>Institution ID</t>
  </si>
  <si>
    <t>Expired</t>
  </si>
  <si>
    <t>Course Level</t>
  </si>
  <si>
    <t>Course Name</t>
  </si>
  <si>
    <t>Course Code</t>
  </si>
  <si>
    <t>FOS Level1</t>
  </si>
  <si>
    <t>FOS Level 2</t>
  </si>
  <si>
    <t>FOS Level 3</t>
  </si>
  <si>
    <t>FOS Level 4</t>
  </si>
  <si>
    <t>FOS Level 5</t>
  </si>
  <si>
    <t>FOS Level 6</t>
  </si>
  <si>
    <t>FOS Level 7</t>
  </si>
  <si>
    <t>FOS Level 8</t>
  </si>
  <si>
    <t>level_code</t>
  </si>
  <si>
    <t>Advanced Diploma</t>
  </si>
  <si>
    <t>6A</t>
  </si>
  <si>
    <t>Associate Degree</t>
  </si>
  <si>
    <t>Bachelor Degree</t>
  </si>
  <si>
    <t>6B</t>
  </si>
  <si>
    <t>Bachelor Honours Degree</t>
  </si>
  <si>
    <t>6C</t>
  </si>
  <si>
    <t>Certificate I</t>
  </si>
  <si>
    <t>5A</t>
  </si>
  <si>
    <t>Certificate II</t>
  </si>
  <si>
    <t>Certificate III</t>
  </si>
  <si>
    <t>Certificate IV</t>
  </si>
  <si>
    <t>Diploma</t>
  </si>
  <si>
    <t>Doctoral Degree</t>
  </si>
  <si>
    <t>7D</t>
  </si>
  <si>
    <t>Graduate Certificate</t>
  </si>
  <si>
    <t>7A</t>
  </si>
  <si>
    <t>Graduate Diploma</t>
  </si>
  <si>
    <t>Junior Secondary Studies</t>
  </si>
  <si>
    <t>Kindergarten Studies</t>
  </si>
  <si>
    <t>Masters Degree (Coursework)</t>
  </si>
  <si>
    <t>7B</t>
  </si>
  <si>
    <t>Masters Degree (Extended)</t>
  </si>
  <si>
    <t>Masters Degree (Research)</t>
  </si>
  <si>
    <t>Non AQF Award</t>
  </si>
  <si>
    <t>Primary School Studies</t>
  </si>
  <si>
    <t>Senior Secondary Certificate of Education</t>
  </si>
  <si>
    <t>3A</t>
  </si>
  <si>
    <t>Vocational Short Course</t>
  </si>
  <si>
    <t>1 Smith Street</t>
  </si>
  <si>
    <t>Pall Mall</t>
  </si>
  <si>
    <t>SW11</t>
  </si>
  <si>
    <t>Unit 1</t>
  </si>
  <si>
    <t>Kensington</t>
  </si>
  <si>
    <t>Michigan</t>
  </si>
  <si>
    <t>Postal Address Country</t>
  </si>
  <si>
    <t>Address Concat</t>
  </si>
  <si>
    <t>Unit 1, 1 Smith Street, Pall Mall, South Kensington</t>
  </si>
  <si>
    <t>Australia</t>
  </si>
  <si>
    <t>Row Index</t>
  </si>
  <si>
    <t>Acorn Institute</t>
  </si>
  <si>
    <t>Oak Academy</t>
  </si>
  <si>
    <t>IAU-000062</t>
  </si>
  <si>
    <t>Acorn Institution</t>
  </si>
  <si>
    <t>country_code</t>
  </si>
  <si>
    <t>AU</t>
  </si>
  <si>
    <t>ext_cred_name</t>
  </si>
  <si>
    <t>whed_cred_name</t>
  </si>
  <si>
    <t>www.oakacademy.org</t>
  </si>
  <si>
    <t>UKGOV123</t>
  </si>
  <si>
    <t>No</t>
  </si>
  <si>
    <t>Bachelor</t>
  </si>
  <si>
    <t>Bachelor of Laboratory Sciences</t>
  </si>
  <si>
    <t>STEMBIO123</t>
  </si>
  <si>
    <t>Natural &amp; Life Sciences</t>
  </si>
  <si>
    <t>Life Sciences</t>
  </si>
  <si>
    <t>Biology</t>
  </si>
  <si>
    <t>Laboratory Science</t>
  </si>
  <si>
    <t>Battersea</t>
  </si>
  <si>
    <t>London</t>
  </si>
  <si>
    <t>Wandsworth</t>
  </si>
  <si>
    <t>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</si>
</sst>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8"/>
      <name val="Calibri"/>
      <family val="2"/>
      <scheme val="minor"/>
    </font>
    <font>
      <b/>
      <sz val="10"/>
      <name val="Tahoma"/>
      <family val="2"/>
    </font>
    <font>
      <sz val="10"/>
      <name val="Tahoma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Fill="0" applyProtection="0"/>
    <xf numFmtId="0" fontId="7" fillId="0" borderId="0" applyNumberFormat="0" applyFill="0" applyBorder="0" applyAlignment="0" applyProtection="0"/>
  </cellStyleXfs>
  <cellXfs count="7">
    <xf numFmtId="0" fontId="0" fillId="0" borderId="0" xfId="0"/>
    <xf numFmtId="0" fontId="3" fillId="0" borderId="0" xfId="1" applyFont="1" applyFill="1" applyProtection="1"/>
    <xf numFmtId="0" fontId="1" fillId="0" borderId="0" xfId="0" applyFont="1"/>
    <xf numFmtId="0" fontId="5" fillId="0" borderId="0" xfId="0" applyFont="1"/>
    <xf numFmtId="0" fontId="0" fillId="0" borderId="0" xfId="0" applyAlignment="1">
      <alignment horizontal="left"/>
    </xf>
    <xf numFmtId="0" fontId="6" fillId="0" borderId="0" xfId="0" applyFont="1"/>
    <xf numFmtId="0" fontId="7" fillId="0" borderId="0" xfId="2"/>
  </cellXfs>
  <cellStyles count="3">
    <cellStyle name="Hyperlink" xfId="2" builtinId="8"/>
    <cellStyle name="Normal" xfId="0" builtinId="0"/>
    <cellStyle name="Normal 2" xfId="1" xr:uid="{6773BC85-4182-417B-AA8A-864573E928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oakacademy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E8CAB-D495-47CC-A487-D7F0464F0933}">
  <dimension ref="A1:D22"/>
  <sheetViews>
    <sheetView topLeftCell="A6" workbookViewId="0">
      <selection activeCell="E1" sqref="E1:E1048576"/>
    </sheetView>
  </sheetViews>
  <sheetFormatPr defaultRowHeight="15" x14ac:dyDescent="0.25"/>
  <cols>
    <col min="1" max="1" width="21.85546875" customWidth="1"/>
    <col min="2" max="2" width="18" customWidth="1"/>
    <col min="3" max="3" width="16.140625" customWidth="1"/>
    <col min="4" max="4" width="26.85546875" customWidth="1"/>
    <col min="5" max="5" width="24.140625" customWidth="1"/>
  </cols>
  <sheetData>
    <row r="1" spans="1:4" x14ac:dyDescent="0.25">
      <c r="A1" s="3" t="s">
        <v>81</v>
      </c>
      <c r="B1" s="3" t="s">
        <v>34</v>
      </c>
      <c r="C1" s="2" t="s">
        <v>79</v>
      </c>
      <c r="D1" s="2" t="s">
        <v>82</v>
      </c>
    </row>
    <row r="2" spans="1:4" x14ac:dyDescent="0.25">
      <c r="A2" s="4" t="s">
        <v>35</v>
      </c>
      <c r="B2" s="5" t="s">
        <v>36</v>
      </c>
      <c r="C2" t="s">
        <v>80</v>
      </c>
    </row>
    <row r="3" spans="1:4" x14ac:dyDescent="0.25">
      <c r="A3" s="4" t="s">
        <v>37</v>
      </c>
      <c r="B3" s="5" t="s">
        <v>36</v>
      </c>
      <c r="C3" t="s">
        <v>80</v>
      </c>
    </row>
    <row r="4" spans="1:4" x14ac:dyDescent="0.25">
      <c r="A4" s="4" t="s">
        <v>38</v>
      </c>
      <c r="B4" s="5" t="s">
        <v>39</v>
      </c>
      <c r="C4" t="s">
        <v>80</v>
      </c>
    </row>
    <row r="5" spans="1:4" x14ac:dyDescent="0.25">
      <c r="A5" s="4" t="s">
        <v>40</v>
      </c>
      <c r="B5" s="5" t="s">
        <v>41</v>
      </c>
      <c r="C5" t="s">
        <v>80</v>
      </c>
    </row>
    <row r="6" spans="1:4" x14ac:dyDescent="0.25">
      <c r="A6" s="4" t="s">
        <v>42</v>
      </c>
      <c r="B6" s="5" t="s">
        <v>43</v>
      </c>
      <c r="C6" t="s">
        <v>80</v>
      </c>
    </row>
    <row r="7" spans="1:4" x14ac:dyDescent="0.25">
      <c r="A7" s="4" t="s">
        <v>44</v>
      </c>
      <c r="B7" s="5" t="s">
        <v>43</v>
      </c>
      <c r="C7" t="s">
        <v>80</v>
      </c>
    </row>
    <row r="8" spans="1:4" x14ac:dyDescent="0.25">
      <c r="A8" s="4" t="s">
        <v>45</v>
      </c>
      <c r="B8" s="5" t="s">
        <v>43</v>
      </c>
      <c r="C8" t="s">
        <v>80</v>
      </c>
    </row>
    <row r="9" spans="1:4" x14ac:dyDescent="0.25">
      <c r="A9" s="4" t="s">
        <v>46</v>
      </c>
      <c r="B9" s="5" t="s">
        <v>43</v>
      </c>
      <c r="C9" t="s">
        <v>80</v>
      </c>
    </row>
    <row r="10" spans="1:4" x14ac:dyDescent="0.25">
      <c r="A10" s="4" t="s">
        <v>47</v>
      </c>
      <c r="B10" s="5" t="s">
        <v>36</v>
      </c>
      <c r="C10" t="s">
        <v>80</v>
      </c>
    </row>
    <row r="11" spans="1:4" x14ac:dyDescent="0.25">
      <c r="A11" s="4" t="s">
        <v>48</v>
      </c>
      <c r="B11" s="5" t="s">
        <v>49</v>
      </c>
      <c r="C11" t="s">
        <v>80</v>
      </c>
    </row>
    <row r="12" spans="1:4" x14ac:dyDescent="0.25">
      <c r="A12" s="4" t="s">
        <v>50</v>
      </c>
      <c r="B12" s="5" t="s">
        <v>51</v>
      </c>
      <c r="C12" t="s">
        <v>80</v>
      </c>
    </row>
    <row r="13" spans="1:4" x14ac:dyDescent="0.25">
      <c r="A13" s="4" t="s">
        <v>52</v>
      </c>
      <c r="B13" s="5" t="s">
        <v>51</v>
      </c>
      <c r="C13" t="s">
        <v>80</v>
      </c>
    </row>
    <row r="14" spans="1:4" x14ac:dyDescent="0.25">
      <c r="A14" s="4" t="s">
        <v>53</v>
      </c>
      <c r="C14" t="s">
        <v>80</v>
      </c>
    </row>
    <row r="15" spans="1:4" x14ac:dyDescent="0.25">
      <c r="A15" s="4" t="s">
        <v>54</v>
      </c>
      <c r="C15" t="s">
        <v>80</v>
      </c>
    </row>
    <row r="16" spans="1:4" x14ac:dyDescent="0.25">
      <c r="A16" s="4" t="s">
        <v>55</v>
      </c>
      <c r="B16" s="5" t="s">
        <v>56</v>
      </c>
      <c r="C16" t="s">
        <v>80</v>
      </c>
    </row>
    <row r="17" spans="1:3" x14ac:dyDescent="0.25">
      <c r="A17" s="4" t="s">
        <v>57</v>
      </c>
      <c r="B17" s="5" t="s">
        <v>56</v>
      </c>
      <c r="C17" t="s">
        <v>80</v>
      </c>
    </row>
    <row r="18" spans="1:3" x14ac:dyDescent="0.25">
      <c r="A18" s="4" t="s">
        <v>58</v>
      </c>
      <c r="B18" s="5" t="s">
        <v>56</v>
      </c>
      <c r="C18" t="s">
        <v>80</v>
      </c>
    </row>
    <row r="19" spans="1:3" x14ac:dyDescent="0.25">
      <c r="A19" s="4" t="s">
        <v>59</v>
      </c>
      <c r="B19" s="5"/>
      <c r="C19" t="s">
        <v>80</v>
      </c>
    </row>
    <row r="20" spans="1:3" x14ac:dyDescent="0.25">
      <c r="A20" s="4" t="s">
        <v>60</v>
      </c>
      <c r="C20" t="s">
        <v>80</v>
      </c>
    </row>
    <row r="21" spans="1:3" x14ac:dyDescent="0.25">
      <c r="A21" s="4" t="s">
        <v>61</v>
      </c>
      <c r="B21" s="5" t="s">
        <v>62</v>
      </c>
      <c r="C21" t="s">
        <v>80</v>
      </c>
    </row>
    <row r="22" spans="1:3" x14ac:dyDescent="0.25">
      <c r="A22" s="4" t="s">
        <v>63</v>
      </c>
      <c r="C22" t="s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workbookViewId="0">
      <selection activeCell="F25" sqref="F25"/>
    </sheetView>
  </sheetViews>
  <sheetFormatPr defaultRowHeight="15" x14ac:dyDescent="0.25"/>
  <cols>
    <col min="1" max="1" width="10.140625" customWidth="1"/>
    <col min="2" max="2" width="19.5703125" customWidth="1"/>
    <col min="3" max="3" width="19.140625" customWidth="1"/>
    <col min="4" max="4" width="22.28515625" customWidth="1"/>
    <col min="5" max="5" width="22.42578125" customWidth="1"/>
    <col min="6" max="6" width="16" customWidth="1"/>
    <col min="7" max="7" width="15" customWidth="1"/>
    <col min="8" max="8" width="9.140625" customWidth="1"/>
  </cols>
  <sheetData>
    <row r="1" spans="1:14" x14ac:dyDescent="0.25">
      <c r="A1" s="1" t="s">
        <v>5</v>
      </c>
      <c r="B1" s="1" t="s">
        <v>4</v>
      </c>
      <c r="C1" s="1" t="s">
        <v>3</v>
      </c>
      <c r="D1" s="1" t="s">
        <v>0</v>
      </c>
      <c r="E1" s="1" t="s">
        <v>1</v>
      </c>
      <c r="F1" s="1" t="s">
        <v>6</v>
      </c>
      <c r="G1" s="1" t="s">
        <v>71</v>
      </c>
      <c r="H1" s="1" t="s">
        <v>7</v>
      </c>
      <c r="I1" s="1" t="s">
        <v>8</v>
      </c>
      <c r="J1" s="1" t="s">
        <v>10</v>
      </c>
      <c r="K1" s="1" t="s">
        <v>11</v>
      </c>
      <c r="L1" s="1" t="s">
        <v>9</v>
      </c>
      <c r="M1" s="1" t="s">
        <v>12</v>
      </c>
      <c r="N1" s="1" t="s">
        <v>2</v>
      </c>
    </row>
    <row r="2" spans="1:14" x14ac:dyDescent="0.25">
      <c r="A2">
        <v>62</v>
      </c>
      <c r="B2" t="s">
        <v>77</v>
      </c>
      <c r="C2" t="s">
        <v>78</v>
      </c>
      <c r="D2" t="s">
        <v>75</v>
      </c>
      <c r="E2" t="s">
        <v>76</v>
      </c>
      <c r="G2" t="str">
        <f>_xlfn.TEXTJOIN(" ", TRUE, H2:M2)</f>
        <v>Unit 1, 1 Smith Street, Pall Mall, South Kensington Kensington SW11 Michigan Australia</v>
      </c>
      <c r="H2" t="s">
        <v>72</v>
      </c>
      <c r="I2" t="s">
        <v>68</v>
      </c>
      <c r="J2" t="s">
        <v>66</v>
      </c>
      <c r="K2" t="s">
        <v>69</v>
      </c>
      <c r="M2" t="s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C3BA5-4966-476E-B239-1E316FE5762C}">
  <dimension ref="A1:O2"/>
  <sheetViews>
    <sheetView tabSelected="1" workbookViewId="0">
      <selection activeCell="I10" sqref="I10"/>
    </sheetView>
  </sheetViews>
  <sheetFormatPr defaultRowHeight="15" x14ac:dyDescent="0.25"/>
  <cols>
    <col min="1" max="1" width="10.28515625" customWidth="1"/>
    <col min="2" max="2" width="15.85546875" customWidth="1"/>
    <col min="3" max="3" width="16.140625" bestFit="1" customWidth="1"/>
    <col min="4" max="4" width="16.85546875" bestFit="1" customWidth="1"/>
    <col min="5" max="5" width="23.5703125" customWidth="1"/>
    <col min="6" max="6" width="19" customWidth="1"/>
    <col min="7" max="7" width="19.85546875" bestFit="1" customWidth="1"/>
    <col min="8" max="8" width="23.5703125" customWidth="1"/>
    <col min="9" max="9" width="20.5703125" customWidth="1"/>
    <col min="10" max="10" width="18.85546875" customWidth="1"/>
    <col min="11" max="11" width="19.28515625" bestFit="1" customWidth="1"/>
    <col min="13" max="13" width="17" customWidth="1"/>
  </cols>
  <sheetData>
    <row r="1" spans="1:15" x14ac:dyDescent="0.25">
      <c r="A1" s="2" t="s">
        <v>74</v>
      </c>
      <c r="B1" s="2" t="s">
        <v>21</v>
      </c>
      <c r="C1" s="2" t="s">
        <v>3</v>
      </c>
      <c r="D1" s="2" t="s">
        <v>1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19</v>
      </c>
      <c r="L1" s="2" t="s">
        <v>20</v>
      </c>
      <c r="M1" s="2" t="s">
        <v>70</v>
      </c>
      <c r="O1" s="2"/>
    </row>
    <row r="2" spans="1:15" x14ac:dyDescent="0.25">
      <c r="A2">
        <v>1</v>
      </c>
      <c r="B2" t="s">
        <v>84</v>
      </c>
      <c r="C2" t="s">
        <v>75</v>
      </c>
      <c r="D2" t="s">
        <v>76</v>
      </c>
      <c r="E2" s="6" t="s">
        <v>83</v>
      </c>
      <c r="F2" t="s">
        <v>67</v>
      </c>
      <c r="G2" t="s">
        <v>64</v>
      </c>
      <c r="H2" t="s">
        <v>65</v>
      </c>
      <c r="I2" t="s">
        <v>93</v>
      </c>
      <c r="J2" t="s">
        <v>94</v>
      </c>
      <c r="K2" t="s">
        <v>95</v>
      </c>
      <c r="L2" t="s">
        <v>66</v>
      </c>
      <c r="M2" t="s">
        <v>96</v>
      </c>
    </row>
  </sheetData>
  <hyperlinks>
    <hyperlink ref="E2" r:id="rId1" xr:uid="{254C1AB2-F956-4715-A313-68F8DF5000E8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69F62-FAA7-470F-8473-61A4FFD6C92E}">
  <dimension ref="A1:N2"/>
  <sheetViews>
    <sheetView workbookViewId="0">
      <selection activeCell="H5" sqref="H5"/>
    </sheetView>
  </sheetViews>
  <sheetFormatPr defaultRowHeight="15" x14ac:dyDescent="0.25"/>
  <cols>
    <col min="1" max="1" width="13.42578125" customWidth="1"/>
    <col min="2" max="2" width="23.5703125" customWidth="1"/>
    <col min="3" max="3" width="15.42578125" customWidth="1"/>
    <col min="4" max="4" width="32" customWidth="1"/>
    <col min="5" max="5" width="21.5703125" customWidth="1"/>
    <col min="6" max="6" width="22.42578125" customWidth="1"/>
    <col min="7" max="7" width="15.7109375" customWidth="1"/>
    <col min="8" max="8" width="11" customWidth="1"/>
    <col min="9" max="9" width="17.85546875" bestFit="1" customWidth="1"/>
  </cols>
  <sheetData>
    <row r="1" spans="1:14" x14ac:dyDescent="0.25">
      <c r="A1" s="2" t="s">
        <v>21</v>
      </c>
      <c r="B1" s="2" t="s">
        <v>3</v>
      </c>
      <c r="C1" s="2" t="s">
        <v>23</v>
      </c>
      <c r="D1" s="2" t="s">
        <v>24</v>
      </c>
      <c r="E1" s="2" t="s">
        <v>25</v>
      </c>
      <c r="F1" s="2" t="s">
        <v>26</v>
      </c>
      <c r="G1" s="2" t="s">
        <v>27</v>
      </c>
      <c r="H1" s="2" t="s">
        <v>28</v>
      </c>
      <c r="I1" s="2" t="s">
        <v>29</v>
      </c>
      <c r="J1" s="2" t="s">
        <v>30</v>
      </c>
      <c r="K1" s="2" t="s">
        <v>31</v>
      </c>
      <c r="L1" s="2" t="s">
        <v>32</v>
      </c>
      <c r="M1" s="2" t="s">
        <v>33</v>
      </c>
      <c r="N1" s="2" t="s">
        <v>22</v>
      </c>
    </row>
    <row r="2" spans="1:14" x14ac:dyDescent="0.25">
      <c r="A2" t="s">
        <v>84</v>
      </c>
      <c r="B2" t="s">
        <v>76</v>
      </c>
      <c r="C2" t="s">
        <v>86</v>
      </c>
      <c r="D2" t="s">
        <v>87</v>
      </c>
      <c r="E2" t="s">
        <v>88</v>
      </c>
      <c r="F2" t="s">
        <v>89</v>
      </c>
      <c r="G2" t="s">
        <v>90</v>
      </c>
      <c r="H2" t="s">
        <v>91</v>
      </c>
      <c r="I2" t="s">
        <v>92</v>
      </c>
      <c r="N2" t="s">
        <v>85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whed_levels</vt:lpstr>
      <vt:lpstr>whed_inst</vt:lpstr>
      <vt:lpstr>ext_inst</vt:lpstr>
      <vt:lpstr>ext_cred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 Pettifor</dc:creator>
  <cp:lastModifiedBy>Craig Pettifor</cp:lastModifiedBy>
  <dcterms:created xsi:type="dcterms:W3CDTF">2015-06-05T18:17:20Z</dcterms:created>
  <dcterms:modified xsi:type="dcterms:W3CDTF">2025-10-09T09:26:12Z</dcterms:modified>
</cp:coreProperties>
</file>